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obhi\OneDrive\Desktop\Excel\Week-3-files\Assignment 3\Assignment 3\"/>
    </mc:Choice>
  </mc:AlternateContent>
  <bookViews>
    <workbookView xWindow="-96" yWindow="-96" windowWidth="20712" windowHeight="13272"/>
  </bookViews>
  <sheets>
    <sheet name="Sheet1" sheetId="1" r:id="rId1"/>
    <sheet name="Original data" sheetId="2" state="hidden" r:id="rId2"/>
  </sheets>
  <calcPr calcId="162913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4" i="1" l="1"/>
  <c r="F4" i="1" s="1"/>
  <c r="G4" i="1" s="1"/>
  <c r="E5" i="1"/>
  <c r="F5" i="1" s="1"/>
  <c r="G5" i="1" s="1"/>
  <c r="E6" i="1"/>
  <c r="F6" i="1" s="1"/>
  <c r="G6" i="1" s="1"/>
  <c r="E7" i="1"/>
  <c r="F7" i="1" s="1"/>
  <c r="G7" i="1" s="1"/>
  <c r="E8" i="1"/>
  <c r="F8" i="1" s="1"/>
  <c r="G8" i="1" s="1"/>
  <c r="E9" i="1"/>
  <c r="F9" i="1" s="1"/>
  <c r="G9" i="1" s="1"/>
  <c r="E10" i="1"/>
  <c r="F10" i="1" s="1"/>
  <c r="G10" i="1" s="1"/>
  <c r="E11" i="1"/>
  <c r="F11" i="1" s="1"/>
  <c r="G11" i="1" s="1"/>
  <c r="E12" i="1"/>
  <c r="F12" i="1" s="1"/>
  <c r="G12" i="1" s="1"/>
  <c r="E13" i="1"/>
  <c r="F13" i="1" s="1"/>
  <c r="G13" i="1" s="1"/>
  <c r="E14" i="1"/>
  <c r="F14" i="1" s="1"/>
  <c r="G14" i="1" s="1"/>
  <c r="E15" i="1"/>
  <c r="F15" i="1" s="1"/>
  <c r="G15" i="1" s="1"/>
  <c r="E16" i="1"/>
  <c r="F16" i="1" s="1"/>
  <c r="G16" i="1" s="1"/>
  <c r="E17" i="1"/>
  <c r="F17" i="1" s="1"/>
  <c r="G17" i="1" s="1"/>
  <c r="E18" i="1"/>
  <c r="F18" i="1" s="1"/>
  <c r="G18" i="1" s="1"/>
  <c r="E19" i="1"/>
  <c r="F19" i="1" s="1"/>
  <c r="G19" i="1" s="1"/>
  <c r="E20" i="1"/>
  <c r="F20" i="1" s="1"/>
  <c r="G20" i="1" s="1"/>
  <c r="E21" i="1"/>
  <c r="F21" i="1" s="1"/>
  <c r="G21" i="1" s="1"/>
  <c r="E22" i="1"/>
  <c r="F22" i="1" s="1"/>
  <c r="G22" i="1" s="1"/>
  <c r="E23" i="1"/>
  <c r="F23" i="1" s="1"/>
  <c r="G23" i="1" s="1"/>
  <c r="E24" i="1"/>
  <c r="F24" i="1" s="1"/>
  <c r="G24" i="1" s="1"/>
  <c r="E25" i="1"/>
  <c r="F25" i="1" s="1"/>
  <c r="G25" i="1" s="1"/>
  <c r="E26" i="1"/>
  <c r="F26" i="1" s="1"/>
  <c r="G26" i="1" s="1"/>
  <c r="E27" i="1"/>
  <c r="F27" i="1" s="1"/>
  <c r="G27" i="1" s="1"/>
  <c r="E28" i="1"/>
  <c r="F28" i="1" s="1"/>
  <c r="G28" i="1" s="1"/>
  <c r="E29" i="1"/>
  <c r="F29" i="1" s="1"/>
  <c r="G29" i="1" s="1"/>
  <c r="E30" i="1"/>
  <c r="F30" i="1" s="1"/>
  <c r="G30" i="1" s="1"/>
  <c r="E31" i="1"/>
  <c r="F31" i="1" s="1"/>
  <c r="G31" i="1" s="1"/>
  <c r="E32" i="1"/>
  <c r="F32" i="1" s="1"/>
  <c r="G32" i="1" s="1"/>
  <c r="E33" i="1"/>
  <c r="F33" i="1" s="1"/>
  <c r="G33" i="1" s="1"/>
  <c r="E34" i="1"/>
  <c r="F34" i="1" s="1"/>
  <c r="G34" i="1" s="1"/>
  <c r="E35" i="1"/>
  <c r="F35" i="1" s="1"/>
  <c r="G35" i="1" s="1"/>
  <c r="E36" i="1"/>
  <c r="F36" i="1" s="1"/>
  <c r="G36" i="1" s="1"/>
  <c r="E37" i="1"/>
  <c r="F37" i="1" s="1"/>
  <c r="G37" i="1" s="1"/>
  <c r="E38" i="1"/>
  <c r="F38" i="1" s="1"/>
  <c r="G38" i="1" s="1"/>
  <c r="E39" i="1"/>
  <c r="F39" i="1" s="1"/>
  <c r="G39" i="1" s="1"/>
  <c r="E40" i="1"/>
  <c r="F40" i="1" s="1"/>
  <c r="G40" i="1" s="1"/>
  <c r="E41" i="1"/>
  <c r="F41" i="1" s="1"/>
  <c r="G41" i="1" s="1"/>
  <c r="E42" i="1"/>
  <c r="F42" i="1" s="1"/>
  <c r="G42" i="1" s="1"/>
  <c r="E43" i="1"/>
  <c r="F43" i="1" s="1"/>
  <c r="G43" i="1" s="1"/>
  <c r="E44" i="1"/>
  <c r="F44" i="1" s="1"/>
  <c r="G44" i="1" s="1"/>
  <c r="E45" i="1"/>
  <c r="F45" i="1" s="1"/>
  <c r="G45" i="1" s="1"/>
  <c r="E46" i="1"/>
  <c r="F46" i="1" s="1"/>
  <c r="G46" i="1" s="1"/>
  <c r="E47" i="1"/>
  <c r="F47" i="1" s="1"/>
  <c r="G47" i="1" s="1"/>
  <c r="E48" i="1"/>
  <c r="F48" i="1" s="1"/>
  <c r="G48" i="1" s="1"/>
  <c r="E49" i="1"/>
  <c r="F49" i="1" s="1"/>
  <c r="G49" i="1" s="1"/>
  <c r="E50" i="1"/>
  <c r="F50" i="1" s="1"/>
  <c r="G50" i="1" s="1"/>
  <c r="E51" i="1"/>
  <c r="F51" i="1" s="1"/>
  <c r="G51" i="1" s="1"/>
  <c r="E52" i="1"/>
  <c r="F52" i="1" s="1"/>
  <c r="G52" i="1" s="1"/>
  <c r="E53" i="1"/>
  <c r="F53" i="1" s="1"/>
  <c r="G53" i="1" s="1"/>
  <c r="E54" i="1"/>
  <c r="F54" i="1" s="1"/>
  <c r="G54" i="1" s="1"/>
  <c r="E55" i="1"/>
  <c r="F55" i="1" s="1"/>
  <c r="G55" i="1" s="1"/>
  <c r="E56" i="1"/>
  <c r="F56" i="1" s="1"/>
  <c r="G56" i="1" s="1"/>
  <c r="E57" i="1"/>
  <c r="F57" i="1" s="1"/>
  <c r="G57" i="1" s="1"/>
  <c r="E58" i="1"/>
  <c r="F58" i="1" s="1"/>
  <c r="G58" i="1" s="1"/>
  <c r="E59" i="1"/>
  <c r="F59" i="1" s="1"/>
  <c r="G59" i="1" s="1"/>
  <c r="E60" i="1"/>
  <c r="F60" i="1" s="1"/>
  <c r="G60" i="1" s="1"/>
  <c r="E61" i="1"/>
  <c r="F61" i="1" s="1"/>
  <c r="G61" i="1" s="1"/>
  <c r="E62" i="1"/>
  <c r="F62" i="1" s="1"/>
  <c r="G62" i="1" s="1"/>
  <c r="E63" i="1"/>
  <c r="F63" i="1" s="1"/>
  <c r="G63" i="1" s="1"/>
  <c r="E64" i="1"/>
  <c r="F64" i="1" s="1"/>
  <c r="G64" i="1" s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4" i="1"/>
</calcChain>
</file>

<file path=xl/sharedStrings.xml><?xml version="1.0" encoding="utf-8"?>
<sst xmlns="http://schemas.openxmlformats.org/spreadsheetml/2006/main" count="151" uniqueCount="81">
  <si>
    <t>10001_PRV01</t>
  </si>
  <si>
    <t>10001_PRV02</t>
  </si>
  <si>
    <t>10001_PRV03</t>
  </si>
  <si>
    <t>10001_PRV04</t>
  </si>
  <si>
    <t>10001_PRV05</t>
  </si>
  <si>
    <t>10001_PRV06</t>
  </si>
  <si>
    <t>10001_PRV07</t>
  </si>
  <si>
    <t>10001_PI01</t>
  </si>
  <si>
    <t>10001_PI02</t>
  </si>
  <si>
    <t>10001_PI03</t>
  </si>
  <si>
    <t>10001_PI04</t>
  </si>
  <si>
    <t>10001_PI05</t>
  </si>
  <si>
    <t>10001_PI06</t>
  </si>
  <si>
    <t>10001_PI07</t>
  </si>
  <si>
    <t>10001_HV01</t>
  </si>
  <si>
    <t>10001_HV02</t>
  </si>
  <si>
    <t>10001_HV03</t>
  </si>
  <si>
    <t>10001_HV04</t>
  </si>
  <si>
    <t>10001_HV05</t>
  </si>
  <si>
    <t>10001_HV06</t>
  </si>
  <si>
    <t>10001_F01</t>
  </si>
  <si>
    <t>10001_F02</t>
  </si>
  <si>
    <t>10001_F03</t>
  </si>
  <si>
    <t>10001_F04</t>
  </si>
  <si>
    <t>10101_PRV01</t>
  </si>
  <si>
    <t>10101_PRV02</t>
  </si>
  <si>
    <t>10101_PRV03</t>
  </si>
  <si>
    <t>10101_PRV04</t>
  </si>
  <si>
    <t>10101_PRV05</t>
  </si>
  <si>
    <t>10101_PRV06</t>
  </si>
  <si>
    <t>10101_PRV07</t>
  </si>
  <si>
    <t>10101_PI01</t>
  </si>
  <si>
    <t>10101_PI02</t>
  </si>
  <si>
    <t>10101_PI03</t>
  </si>
  <si>
    <t>10101_PI04</t>
  </si>
  <si>
    <t>10101_PI05</t>
  </si>
  <si>
    <t>10101_PI06</t>
  </si>
  <si>
    <t>10101_PI07</t>
  </si>
  <si>
    <t>10101_HV01</t>
  </si>
  <si>
    <t>10101_HV02</t>
  </si>
  <si>
    <t>10101_HV03</t>
  </si>
  <si>
    <t>10101_HV04</t>
  </si>
  <si>
    <t>10101_HV05</t>
  </si>
  <si>
    <t>10101_HV06</t>
  </si>
  <si>
    <t>10202_PRV01</t>
  </si>
  <si>
    <t>10202_PRV02</t>
  </si>
  <si>
    <t>10202_PRV03</t>
  </si>
  <si>
    <t>10202_PRV04</t>
  </si>
  <si>
    <t>10202_PRV05</t>
  </si>
  <si>
    <t>10202_PRV06</t>
  </si>
  <si>
    <t>10202_PI01</t>
  </si>
  <si>
    <t>10202_PI02</t>
  </si>
  <si>
    <t>10202_PI03</t>
  </si>
  <si>
    <t>10202_PI04</t>
  </si>
  <si>
    <t>10202_PI05</t>
  </si>
  <si>
    <t>10202_PI06</t>
  </si>
  <si>
    <t>10202_HV01</t>
  </si>
  <si>
    <t>10202_HV02</t>
  </si>
  <si>
    <t>10202_HV03</t>
  </si>
  <si>
    <t>10202_HV04</t>
  </si>
  <si>
    <t>10202_HV05</t>
  </si>
  <si>
    <t>System No.</t>
  </si>
  <si>
    <t>ID #</t>
  </si>
  <si>
    <t>PRV</t>
  </si>
  <si>
    <t>Pressure Relief Valve</t>
  </si>
  <si>
    <t>PI</t>
  </si>
  <si>
    <t>Pressure Indicator</t>
  </si>
  <si>
    <t>HV</t>
  </si>
  <si>
    <t>Hand Valve</t>
  </si>
  <si>
    <t>F</t>
  </si>
  <si>
    <t>Filter</t>
  </si>
  <si>
    <t>Description</t>
  </si>
  <si>
    <t>Equipment Group</t>
  </si>
  <si>
    <t>Equipment Tag</t>
  </si>
  <si>
    <t>System Code</t>
  </si>
  <si>
    <t>Part Inventory</t>
  </si>
  <si>
    <t>*Don't reset unless you want</t>
  </si>
  <si>
    <t>all the formulas in columns C</t>
  </si>
  <si>
    <t>through G to be cleared!</t>
  </si>
  <si>
    <t>IMPORTANT: Don't change the location of</t>
  </si>
  <si>
    <t>any of the cells in columns B through G!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</si>
</sst>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1" fillId="0" borderId="0" xfId="0" applyFont="1"/>
    <xf numFmtId="0" fontId="1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213360</xdr:colOff>
          <xdr:row>10</xdr:row>
          <xdr:rowOff>45720</xdr:rowOff>
        </xdr:from>
        <xdr:to>
          <xdr:col>10</xdr:col>
          <xdr:colOff>312420</xdr:colOff>
          <xdr:row>12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GRADE Part 3.2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213360</xdr:colOff>
          <xdr:row>14</xdr:row>
          <xdr:rowOff>45720</xdr:rowOff>
        </xdr:from>
        <xdr:to>
          <xdr:col>10</xdr:col>
          <xdr:colOff>312420</xdr:colOff>
          <xdr:row>16</xdr:row>
          <xdr:rowOff>144780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64"/>
  <sheetViews>
    <sheetView tabSelected="1" workbookViewId="0"/>
  </sheetViews>
  <sheetFormatPr defaultRowHeight="14.4" x14ac:dyDescent="0.3"/>
  <cols>
    <col min="2" max="2" width="11.77734375" bestFit="1" customWidth="1"/>
    <col min="3" max="3" width="11.109375" customWidth="1"/>
    <col min="5" max="5" width="11.109375" customWidth="1"/>
    <col min="7" max="7" width="17.21875" bestFit="1" customWidth="1"/>
    <col min="11" max="11" width="17.21875" bestFit="1" customWidth="1"/>
  </cols>
  <sheetData>
    <row r="1" spans="1:11" x14ac:dyDescent="0.3">
      <c r="A1" s="3" t="s">
        <v>75</v>
      </c>
    </row>
    <row r="3" spans="1:11" ht="28.8" x14ac:dyDescent="0.3">
      <c r="B3" s="2" t="s">
        <v>62</v>
      </c>
      <c r="C3" s="1" t="s">
        <v>72</v>
      </c>
      <c r="D3" s="1" t="s">
        <v>61</v>
      </c>
      <c r="E3" s="1" t="s">
        <v>73</v>
      </c>
      <c r="F3" s="1" t="s">
        <v>74</v>
      </c>
      <c r="G3" s="2" t="s">
        <v>71</v>
      </c>
      <c r="J3" s="4" t="s">
        <v>74</v>
      </c>
      <c r="K3" s="3" t="s">
        <v>71</v>
      </c>
    </row>
    <row r="4" spans="1:11" x14ac:dyDescent="0.3">
      <c r="B4" t="s">
        <v>0</v>
      </c>
      <c r="C4" t="str">
        <f>LEFT(B4,3)</f>
        <v>100</v>
      </c>
      <c r="D4" t="str">
        <f>LEFT(B4,FIND("_",B4)-1)</f>
        <v>10001</v>
      </c>
      <c r="E4" t="str">
        <f>RIGHT(B4,LEN(B4)-FIND("_",B4))</f>
        <v>PRV01</v>
      </c>
      <c r="F4" t="str">
        <f>LEFT(E4,LEN(E4)-2)</f>
        <v>PRV</v>
      </c>
      <c r="G4" t="str">
        <f>IF(F4=$J$4,$K$4,IF(F4=$J$5,$K$5,IF(F4=$J$6,$K$6,IF(F4=$J$7,$K$7))))</f>
        <v>Pressure Relief Valve</v>
      </c>
      <c r="J4" t="s">
        <v>63</v>
      </c>
      <c r="K4" t="s">
        <v>64</v>
      </c>
    </row>
    <row r="5" spans="1:11" x14ac:dyDescent="0.3">
      <c r="B5" t="s">
        <v>1</v>
      </c>
      <c r="C5" t="str">
        <f t="shared" ref="C5:C64" si="0">LEFT(B5,3)</f>
        <v>100</v>
      </c>
      <c r="D5" t="str">
        <f t="shared" ref="D5:D64" si="1">LEFT(B5,FIND("_",B5)-1)</f>
        <v>10001</v>
      </c>
      <c r="E5" t="str">
        <f t="shared" ref="E5:E64" si="2">RIGHT(B5,LEN(B5)-FIND("_",B5))</f>
        <v>PRV02</v>
      </c>
      <c r="F5" t="str">
        <f t="shared" ref="F5:F64" si="3">LEFT(E5,LEN(E5)-2)</f>
        <v>PRV</v>
      </c>
      <c r="G5" t="str">
        <f t="shared" ref="G5:G64" si="4">IF(F5=$J$4,$K$4,IF(F5=$J$5,$K$5,IF(F5=$J$6,$K$6,IF(F5=$J$7,$K$7))))</f>
        <v>Pressure Relief Valve</v>
      </c>
      <c r="J5" t="s">
        <v>65</v>
      </c>
      <c r="K5" t="s">
        <v>66</v>
      </c>
    </row>
    <row r="6" spans="1:11" x14ac:dyDescent="0.3">
      <c r="B6" t="s">
        <v>2</v>
      </c>
      <c r="C6" t="str">
        <f t="shared" si="0"/>
        <v>100</v>
      </c>
      <c r="D6" t="str">
        <f t="shared" si="1"/>
        <v>10001</v>
      </c>
      <c r="E6" t="str">
        <f t="shared" si="2"/>
        <v>PRV03</v>
      </c>
      <c r="F6" t="str">
        <f t="shared" si="3"/>
        <v>PRV</v>
      </c>
      <c r="G6" t="str">
        <f t="shared" si="4"/>
        <v>Pressure Relief Valve</v>
      </c>
      <c r="J6" t="s">
        <v>67</v>
      </c>
      <c r="K6" t="s">
        <v>68</v>
      </c>
    </row>
    <row r="7" spans="1:11" x14ac:dyDescent="0.3">
      <c r="B7" t="s">
        <v>3</v>
      </c>
      <c r="C7" t="str">
        <f t="shared" si="0"/>
        <v>100</v>
      </c>
      <c r="D7" t="str">
        <f t="shared" si="1"/>
        <v>10001</v>
      </c>
      <c r="E7" t="str">
        <f t="shared" si="2"/>
        <v>PRV04</v>
      </c>
      <c r="F7" t="str">
        <f t="shared" si="3"/>
        <v>PRV</v>
      </c>
      <c r="G7" t="str">
        <f t="shared" si="4"/>
        <v>Pressure Relief Valve</v>
      </c>
      <c r="J7" t="s">
        <v>69</v>
      </c>
      <c r="K7" t="s">
        <v>70</v>
      </c>
    </row>
    <row r="8" spans="1:11" x14ac:dyDescent="0.3">
      <c r="B8" t="s">
        <v>4</v>
      </c>
      <c r="C8" t="str">
        <f t="shared" si="0"/>
        <v>100</v>
      </c>
      <c r="D8" t="str">
        <f t="shared" si="1"/>
        <v>10001</v>
      </c>
      <c r="E8" t="str">
        <f t="shared" si="2"/>
        <v>PRV05</v>
      </c>
      <c r="F8" t="str">
        <f t="shared" si="3"/>
        <v>PRV</v>
      </c>
      <c r="G8" t="str">
        <f t="shared" si="4"/>
        <v>Pressure Relief Valve</v>
      </c>
    </row>
    <row r="9" spans="1:11" x14ac:dyDescent="0.3">
      <c r="B9" t="s">
        <v>5</v>
      </c>
      <c r="C9" t="str">
        <f t="shared" si="0"/>
        <v>100</v>
      </c>
      <c r="D9" t="str">
        <f t="shared" si="1"/>
        <v>10001</v>
      </c>
      <c r="E9" t="str">
        <f t="shared" si="2"/>
        <v>PRV06</v>
      </c>
      <c r="F9" t="str">
        <f t="shared" si="3"/>
        <v>PRV</v>
      </c>
      <c r="G9" t="str">
        <f t="shared" si="4"/>
        <v>Pressure Relief Valve</v>
      </c>
    </row>
    <row r="10" spans="1:11" x14ac:dyDescent="0.3">
      <c r="B10" t="s">
        <v>6</v>
      </c>
      <c r="C10" t="str">
        <f t="shared" si="0"/>
        <v>100</v>
      </c>
      <c r="D10" t="str">
        <f t="shared" si="1"/>
        <v>10001</v>
      </c>
      <c r="E10" t="str">
        <f t="shared" si="2"/>
        <v>PRV07</v>
      </c>
      <c r="F10" t="str">
        <f t="shared" si="3"/>
        <v>PRV</v>
      </c>
      <c r="G10" t="str">
        <f t="shared" si="4"/>
        <v>Pressure Relief Valve</v>
      </c>
    </row>
    <row r="11" spans="1:11" x14ac:dyDescent="0.3">
      <c r="B11" t="s">
        <v>7</v>
      </c>
      <c r="C11" t="str">
        <f t="shared" si="0"/>
        <v>100</v>
      </c>
      <c r="D11" t="str">
        <f t="shared" si="1"/>
        <v>10001</v>
      </c>
      <c r="E11" t="str">
        <f t="shared" si="2"/>
        <v>PI01</v>
      </c>
      <c r="F11" t="str">
        <f t="shared" si="3"/>
        <v>PI</v>
      </c>
      <c r="G11" t="str">
        <f t="shared" si="4"/>
        <v>Pressure Indicator</v>
      </c>
    </row>
    <row r="12" spans="1:11" x14ac:dyDescent="0.3">
      <c r="B12" t="s">
        <v>8</v>
      </c>
      <c r="C12" t="str">
        <f t="shared" si="0"/>
        <v>100</v>
      </c>
      <c r="D12" t="str">
        <f t="shared" si="1"/>
        <v>10001</v>
      </c>
      <c r="E12" t="str">
        <f t="shared" si="2"/>
        <v>PI02</v>
      </c>
      <c r="F12" t="str">
        <f t="shared" si="3"/>
        <v>PI</v>
      </c>
      <c r="G12" t="str">
        <f t="shared" si="4"/>
        <v>Pressure Indicator</v>
      </c>
    </row>
    <row r="13" spans="1:11" x14ac:dyDescent="0.3">
      <c r="B13" t="s">
        <v>9</v>
      </c>
      <c r="C13" t="str">
        <f t="shared" si="0"/>
        <v>100</v>
      </c>
      <c r="D13" t="str">
        <f t="shared" si="1"/>
        <v>10001</v>
      </c>
      <c r="E13" t="str">
        <f t="shared" si="2"/>
        <v>PI03</v>
      </c>
      <c r="F13" t="str">
        <f t="shared" si="3"/>
        <v>PI</v>
      </c>
      <c r="G13" t="str">
        <f t="shared" si="4"/>
        <v>Pressure Indicator</v>
      </c>
    </row>
    <row r="14" spans="1:11" x14ac:dyDescent="0.3">
      <c r="B14" t="s">
        <v>10</v>
      </c>
      <c r="C14" t="str">
        <f t="shared" si="0"/>
        <v>100</v>
      </c>
      <c r="D14" t="str">
        <f t="shared" si="1"/>
        <v>10001</v>
      </c>
      <c r="E14" t="str">
        <f t="shared" si="2"/>
        <v>PI04</v>
      </c>
      <c r="F14" t="str">
        <f t="shared" si="3"/>
        <v>PI</v>
      </c>
      <c r="G14" t="str">
        <f t="shared" si="4"/>
        <v>Pressure Indicator</v>
      </c>
    </row>
    <row r="15" spans="1:11" x14ac:dyDescent="0.3">
      <c r="B15" t="s">
        <v>11</v>
      </c>
      <c r="C15" t="str">
        <f t="shared" si="0"/>
        <v>100</v>
      </c>
      <c r="D15" t="str">
        <f t="shared" si="1"/>
        <v>10001</v>
      </c>
      <c r="E15" t="str">
        <f t="shared" si="2"/>
        <v>PI05</v>
      </c>
      <c r="F15" t="str">
        <f t="shared" si="3"/>
        <v>PI</v>
      </c>
      <c r="G15" t="str">
        <f t="shared" si="4"/>
        <v>Pressure Indicator</v>
      </c>
    </row>
    <row r="16" spans="1:11" x14ac:dyDescent="0.3">
      <c r="B16" t="s">
        <v>12</v>
      </c>
      <c r="C16" t="str">
        <f t="shared" si="0"/>
        <v>100</v>
      </c>
      <c r="D16" t="str">
        <f t="shared" si="1"/>
        <v>10001</v>
      </c>
      <c r="E16" t="str">
        <f t="shared" si="2"/>
        <v>PI06</v>
      </c>
      <c r="F16" t="str">
        <f t="shared" si="3"/>
        <v>PI</v>
      </c>
      <c r="G16" t="str">
        <f t="shared" si="4"/>
        <v>Pressure Indicator</v>
      </c>
    </row>
    <row r="17" spans="2:10" x14ac:dyDescent="0.3">
      <c r="B17" t="s">
        <v>13</v>
      </c>
      <c r="C17" t="str">
        <f t="shared" si="0"/>
        <v>100</v>
      </c>
      <c r="D17" t="str">
        <f t="shared" si="1"/>
        <v>10001</v>
      </c>
      <c r="E17" t="str">
        <f t="shared" si="2"/>
        <v>PI07</v>
      </c>
      <c r="F17" t="str">
        <f t="shared" si="3"/>
        <v>PI</v>
      </c>
      <c r="G17" t="str">
        <f t="shared" si="4"/>
        <v>Pressure Indicator</v>
      </c>
    </row>
    <row r="18" spans="2:10" x14ac:dyDescent="0.3">
      <c r="B18" t="s">
        <v>14</v>
      </c>
      <c r="C18" t="str">
        <f t="shared" si="0"/>
        <v>100</v>
      </c>
      <c r="D18" t="str">
        <f t="shared" si="1"/>
        <v>10001</v>
      </c>
      <c r="E18" t="str">
        <f t="shared" si="2"/>
        <v>HV01</v>
      </c>
      <c r="F18" t="str">
        <f t="shared" si="3"/>
        <v>HV</v>
      </c>
      <c r="G18" t="str">
        <f t="shared" si="4"/>
        <v>Hand Valve</v>
      </c>
    </row>
    <row r="19" spans="2:10" x14ac:dyDescent="0.3">
      <c r="B19" t="s">
        <v>15</v>
      </c>
      <c r="C19" t="str">
        <f t="shared" si="0"/>
        <v>100</v>
      </c>
      <c r="D19" t="str">
        <f t="shared" si="1"/>
        <v>10001</v>
      </c>
      <c r="E19" t="str">
        <f t="shared" si="2"/>
        <v>HV02</v>
      </c>
      <c r="F19" t="str">
        <f t="shared" si="3"/>
        <v>HV</v>
      </c>
      <c r="G19" t="str">
        <f t="shared" si="4"/>
        <v>Hand Valve</v>
      </c>
      <c r="J19" t="s">
        <v>76</v>
      </c>
    </row>
    <row r="20" spans="2:10" x14ac:dyDescent="0.3">
      <c r="B20" t="s">
        <v>16</v>
      </c>
      <c r="C20" t="str">
        <f t="shared" si="0"/>
        <v>100</v>
      </c>
      <c r="D20" t="str">
        <f t="shared" si="1"/>
        <v>10001</v>
      </c>
      <c r="E20" t="str">
        <f t="shared" si="2"/>
        <v>HV03</v>
      </c>
      <c r="F20" t="str">
        <f t="shared" si="3"/>
        <v>HV</v>
      </c>
      <c r="G20" t="str">
        <f t="shared" si="4"/>
        <v>Hand Valve</v>
      </c>
      <c r="J20" t="s">
        <v>77</v>
      </c>
    </row>
    <row r="21" spans="2:10" x14ac:dyDescent="0.3">
      <c r="B21" t="s">
        <v>17</v>
      </c>
      <c r="C21" t="str">
        <f t="shared" si="0"/>
        <v>100</v>
      </c>
      <c r="D21" t="str">
        <f t="shared" si="1"/>
        <v>10001</v>
      </c>
      <c r="E21" t="str">
        <f t="shared" si="2"/>
        <v>HV04</v>
      </c>
      <c r="F21" t="str">
        <f t="shared" si="3"/>
        <v>HV</v>
      </c>
      <c r="G21" t="str">
        <f t="shared" si="4"/>
        <v>Hand Valve</v>
      </c>
      <c r="J21" t="s">
        <v>78</v>
      </c>
    </row>
    <row r="22" spans="2:10" x14ac:dyDescent="0.3">
      <c r="B22" t="s">
        <v>18</v>
      </c>
      <c r="C22" t="str">
        <f t="shared" si="0"/>
        <v>100</v>
      </c>
      <c r="D22" t="str">
        <f t="shared" si="1"/>
        <v>10001</v>
      </c>
      <c r="E22" t="str">
        <f t="shared" si="2"/>
        <v>HV05</v>
      </c>
      <c r="F22" t="str">
        <f t="shared" si="3"/>
        <v>HV</v>
      </c>
      <c r="G22" t="str">
        <f t="shared" si="4"/>
        <v>Hand Valve</v>
      </c>
    </row>
    <row r="23" spans="2:10" x14ac:dyDescent="0.3">
      <c r="B23" t="s">
        <v>19</v>
      </c>
      <c r="C23" t="str">
        <f t="shared" si="0"/>
        <v>100</v>
      </c>
      <c r="D23" t="str">
        <f t="shared" si="1"/>
        <v>10001</v>
      </c>
      <c r="E23" t="str">
        <f t="shared" si="2"/>
        <v>HV06</v>
      </c>
      <c r="F23" t="str">
        <f t="shared" si="3"/>
        <v>HV</v>
      </c>
      <c r="G23" t="str">
        <f t="shared" si="4"/>
        <v>Hand Valve</v>
      </c>
    </row>
    <row r="24" spans="2:10" x14ac:dyDescent="0.3">
      <c r="B24" t="s">
        <v>20</v>
      </c>
      <c r="C24" t="str">
        <f t="shared" si="0"/>
        <v>100</v>
      </c>
      <c r="D24" t="str">
        <f t="shared" si="1"/>
        <v>10001</v>
      </c>
      <c r="E24" t="str">
        <f t="shared" si="2"/>
        <v>F01</v>
      </c>
      <c r="F24" t="str">
        <f t="shared" si="3"/>
        <v>F</v>
      </c>
      <c r="G24" t="str">
        <f t="shared" si="4"/>
        <v>Filter</v>
      </c>
      <c r="I24" t="s">
        <v>79</v>
      </c>
    </row>
    <row r="25" spans="2:10" x14ac:dyDescent="0.3">
      <c r="B25" t="s">
        <v>21</v>
      </c>
      <c r="C25" t="str">
        <f t="shared" si="0"/>
        <v>100</v>
      </c>
      <c r="D25" t="str">
        <f t="shared" si="1"/>
        <v>10001</v>
      </c>
      <c r="E25" t="str">
        <f t="shared" si="2"/>
        <v>F02</v>
      </c>
      <c r="F25" t="str">
        <f t="shared" si="3"/>
        <v>F</v>
      </c>
      <c r="G25" t="str">
        <f t="shared" si="4"/>
        <v>Filter</v>
      </c>
      <c r="I25" t="s">
        <v>80</v>
      </c>
    </row>
    <row r="26" spans="2:10" x14ac:dyDescent="0.3">
      <c r="B26" t="s">
        <v>22</v>
      </c>
      <c r="C26" t="str">
        <f t="shared" si="0"/>
        <v>100</v>
      </c>
      <c r="D26" t="str">
        <f t="shared" si="1"/>
        <v>10001</v>
      </c>
      <c r="E26" t="str">
        <f t="shared" si="2"/>
        <v>F03</v>
      </c>
      <c r="F26" t="str">
        <f t="shared" si="3"/>
        <v>F</v>
      </c>
      <c r="G26" t="str">
        <f t="shared" si="4"/>
        <v>Filter</v>
      </c>
    </row>
    <row r="27" spans="2:10" x14ac:dyDescent="0.3">
      <c r="B27" t="s">
        <v>23</v>
      </c>
      <c r="C27" t="str">
        <f t="shared" si="0"/>
        <v>100</v>
      </c>
      <c r="D27" t="str">
        <f t="shared" si="1"/>
        <v>10001</v>
      </c>
      <c r="E27" t="str">
        <f t="shared" si="2"/>
        <v>F04</v>
      </c>
      <c r="F27" t="str">
        <f t="shared" si="3"/>
        <v>F</v>
      </c>
      <c r="G27" t="str">
        <f t="shared" si="4"/>
        <v>Filter</v>
      </c>
    </row>
    <row r="28" spans="2:10" x14ac:dyDescent="0.3">
      <c r="B28" t="s">
        <v>24</v>
      </c>
      <c r="C28" t="str">
        <f t="shared" si="0"/>
        <v>101</v>
      </c>
      <c r="D28" t="str">
        <f t="shared" si="1"/>
        <v>10101</v>
      </c>
      <c r="E28" t="str">
        <f t="shared" si="2"/>
        <v>PRV01</v>
      </c>
      <c r="F28" t="str">
        <f t="shared" si="3"/>
        <v>PRV</v>
      </c>
      <c r="G28" t="str">
        <f t="shared" si="4"/>
        <v>Pressure Relief Valve</v>
      </c>
    </row>
    <row r="29" spans="2:10" x14ac:dyDescent="0.3">
      <c r="B29" t="s">
        <v>25</v>
      </c>
      <c r="C29" t="str">
        <f t="shared" si="0"/>
        <v>101</v>
      </c>
      <c r="D29" t="str">
        <f t="shared" si="1"/>
        <v>10101</v>
      </c>
      <c r="E29" t="str">
        <f t="shared" si="2"/>
        <v>PRV02</v>
      </c>
      <c r="F29" t="str">
        <f t="shared" si="3"/>
        <v>PRV</v>
      </c>
      <c r="G29" t="str">
        <f t="shared" si="4"/>
        <v>Pressure Relief Valve</v>
      </c>
    </row>
    <row r="30" spans="2:10" x14ac:dyDescent="0.3">
      <c r="B30" t="s">
        <v>26</v>
      </c>
      <c r="C30" t="str">
        <f t="shared" si="0"/>
        <v>101</v>
      </c>
      <c r="D30" t="str">
        <f t="shared" si="1"/>
        <v>10101</v>
      </c>
      <c r="E30" t="str">
        <f t="shared" si="2"/>
        <v>PRV03</v>
      </c>
      <c r="F30" t="str">
        <f t="shared" si="3"/>
        <v>PRV</v>
      </c>
      <c r="G30" t="str">
        <f t="shared" si="4"/>
        <v>Pressure Relief Valve</v>
      </c>
    </row>
    <row r="31" spans="2:10" x14ac:dyDescent="0.3">
      <c r="B31" t="s">
        <v>27</v>
      </c>
      <c r="C31" t="str">
        <f t="shared" si="0"/>
        <v>101</v>
      </c>
      <c r="D31" t="str">
        <f t="shared" si="1"/>
        <v>10101</v>
      </c>
      <c r="E31" t="str">
        <f t="shared" si="2"/>
        <v>PRV04</v>
      </c>
      <c r="F31" t="str">
        <f t="shared" si="3"/>
        <v>PRV</v>
      </c>
      <c r="G31" t="str">
        <f t="shared" si="4"/>
        <v>Pressure Relief Valve</v>
      </c>
    </row>
    <row r="32" spans="2:10" x14ac:dyDescent="0.3">
      <c r="B32" t="s">
        <v>28</v>
      </c>
      <c r="C32" t="str">
        <f t="shared" si="0"/>
        <v>101</v>
      </c>
      <c r="D32" t="str">
        <f t="shared" si="1"/>
        <v>10101</v>
      </c>
      <c r="E32" t="str">
        <f t="shared" si="2"/>
        <v>PRV05</v>
      </c>
      <c r="F32" t="str">
        <f t="shared" si="3"/>
        <v>PRV</v>
      </c>
      <c r="G32" t="str">
        <f t="shared" si="4"/>
        <v>Pressure Relief Valve</v>
      </c>
    </row>
    <row r="33" spans="2:7" x14ac:dyDescent="0.3">
      <c r="B33" t="s">
        <v>29</v>
      </c>
      <c r="C33" t="str">
        <f t="shared" si="0"/>
        <v>101</v>
      </c>
      <c r="D33" t="str">
        <f t="shared" si="1"/>
        <v>10101</v>
      </c>
      <c r="E33" t="str">
        <f t="shared" si="2"/>
        <v>PRV06</v>
      </c>
      <c r="F33" t="str">
        <f t="shared" si="3"/>
        <v>PRV</v>
      </c>
      <c r="G33" t="str">
        <f t="shared" si="4"/>
        <v>Pressure Relief Valve</v>
      </c>
    </row>
    <row r="34" spans="2:7" x14ac:dyDescent="0.3">
      <c r="B34" t="s">
        <v>30</v>
      </c>
      <c r="C34" t="str">
        <f t="shared" si="0"/>
        <v>101</v>
      </c>
      <c r="D34" t="str">
        <f t="shared" si="1"/>
        <v>10101</v>
      </c>
      <c r="E34" t="str">
        <f t="shared" si="2"/>
        <v>PRV07</v>
      </c>
      <c r="F34" t="str">
        <f t="shared" si="3"/>
        <v>PRV</v>
      </c>
      <c r="G34" t="str">
        <f t="shared" si="4"/>
        <v>Pressure Relief Valve</v>
      </c>
    </row>
    <row r="35" spans="2:7" x14ac:dyDescent="0.3">
      <c r="B35" t="s">
        <v>31</v>
      </c>
      <c r="C35" t="str">
        <f t="shared" si="0"/>
        <v>101</v>
      </c>
      <c r="D35" t="str">
        <f t="shared" si="1"/>
        <v>10101</v>
      </c>
      <c r="E35" t="str">
        <f t="shared" si="2"/>
        <v>PI01</v>
      </c>
      <c r="F35" t="str">
        <f t="shared" si="3"/>
        <v>PI</v>
      </c>
      <c r="G35" t="str">
        <f t="shared" si="4"/>
        <v>Pressure Indicator</v>
      </c>
    </row>
    <row r="36" spans="2:7" x14ac:dyDescent="0.3">
      <c r="B36" t="s">
        <v>32</v>
      </c>
      <c r="C36" t="str">
        <f t="shared" si="0"/>
        <v>101</v>
      </c>
      <c r="D36" t="str">
        <f t="shared" si="1"/>
        <v>10101</v>
      </c>
      <c r="E36" t="str">
        <f t="shared" si="2"/>
        <v>PI02</v>
      </c>
      <c r="F36" t="str">
        <f t="shared" si="3"/>
        <v>PI</v>
      </c>
      <c r="G36" t="str">
        <f t="shared" si="4"/>
        <v>Pressure Indicator</v>
      </c>
    </row>
    <row r="37" spans="2:7" x14ac:dyDescent="0.3">
      <c r="B37" t="s">
        <v>33</v>
      </c>
      <c r="C37" t="str">
        <f t="shared" si="0"/>
        <v>101</v>
      </c>
      <c r="D37" t="str">
        <f t="shared" si="1"/>
        <v>10101</v>
      </c>
      <c r="E37" t="str">
        <f t="shared" si="2"/>
        <v>PI03</v>
      </c>
      <c r="F37" t="str">
        <f t="shared" si="3"/>
        <v>PI</v>
      </c>
      <c r="G37" t="str">
        <f t="shared" si="4"/>
        <v>Pressure Indicator</v>
      </c>
    </row>
    <row r="38" spans="2:7" x14ac:dyDescent="0.3">
      <c r="B38" t="s">
        <v>34</v>
      </c>
      <c r="C38" t="str">
        <f t="shared" si="0"/>
        <v>101</v>
      </c>
      <c r="D38" t="str">
        <f t="shared" si="1"/>
        <v>10101</v>
      </c>
      <c r="E38" t="str">
        <f t="shared" si="2"/>
        <v>PI04</v>
      </c>
      <c r="F38" t="str">
        <f t="shared" si="3"/>
        <v>PI</v>
      </c>
      <c r="G38" t="str">
        <f t="shared" si="4"/>
        <v>Pressure Indicator</v>
      </c>
    </row>
    <row r="39" spans="2:7" x14ac:dyDescent="0.3">
      <c r="B39" t="s">
        <v>35</v>
      </c>
      <c r="C39" t="str">
        <f t="shared" si="0"/>
        <v>101</v>
      </c>
      <c r="D39" t="str">
        <f t="shared" si="1"/>
        <v>10101</v>
      </c>
      <c r="E39" t="str">
        <f t="shared" si="2"/>
        <v>PI05</v>
      </c>
      <c r="F39" t="str">
        <f t="shared" si="3"/>
        <v>PI</v>
      </c>
      <c r="G39" t="str">
        <f t="shared" si="4"/>
        <v>Pressure Indicator</v>
      </c>
    </row>
    <row r="40" spans="2:7" x14ac:dyDescent="0.3">
      <c r="B40" t="s">
        <v>36</v>
      </c>
      <c r="C40" t="str">
        <f t="shared" si="0"/>
        <v>101</v>
      </c>
      <c r="D40" t="str">
        <f t="shared" si="1"/>
        <v>10101</v>
      </c>
      <c r="E40" t="str">
        <f t="shared" si="2"/>
        <v>PI06</v>
      </c>
      <c r="F40" t="str">
        <f t="shared" si="3"/>
        <v>PI</v>
      </c>
      <c r="G40" t="str">
        <f t="shared" si="4"/>
        <v>Pressure Indicator</v>
      </c>
    </row>
    <row r="41" spans="2:7" x14ac:dyDescent="0.3">
      <c r="B41" t="s">
        <v>37</v>
      </c>
      <c r="C41" t="str">
        <f t="shared" si="0"/>
        <v>101</v>
      </c>
      <c r="D41" t="str">
        <f t="shared" si="1"/>
        <v>10101</v>
      </c>
      <c r="E41" t="str">
        <f t="shared" si="2"/>
        <v>PI07</v>
      </c>
      <c r="F41" t="str">
        <f t="shared" si="3"/>
        <v>PI</v>
      </c>
      <c r="G41" t="str">
        <f t="shared" si="4"/>
        <v>Pressure Indicator</v>
      </c>
    </row>
    <row r="42" spans="2:7" x14ac:dyDescent="0.3">
      <c r="B42" t="s">
        <v>38</v>
      </c>
      <c r="C42" t="str">
        <f t="shared" si="0"/>
        <v>101</v>
      </c>
      <c r="D42" t="str">
        <f t="shared" si="1"/>
        <v>10101</v>
      </c>
      <c r="E42" t="str">
        <f t="shared" si="2"/>
        <v>HV01</v>
      </c>
      <c r="F42" t="str">
        <f t="shared" si="3"/>
        <v>HV</v>
      </c>
      <c r="G42" t="str">
        <f t="shared" si="4"/>
        <v>Hand Valve</v>
      </c>
    </row>
    <row r="43" spans="2:7" x14ac:dyDescent="0.3">
      <c r="B43" t="s">
        <v>39</v>
      </c>
      <c r="C43" t="str">
        <f t="shared" si="0"/>
        <v>101</v>
      </c>
      <c r="D43" t="str">
        <f t="shared" si="1"/>
        <v>10101</v>
      </c>
      <c r="E43" t="str">
        <f t="shared" si="2"/>
        <v>HV02</v>
      </c>
      <c r="F43" t="str">
        <f t="shared" si="3"/>
        <v>HV</v>
      </c>
      <c r="G43" t="str">
        <f t="shared" si="4"/>
        <v>Hand Valve</v>
      </c>
    </row>
    <row r="44" spans="2:7" x14ac:dyDescent="0.3">
      <c r="B44" t="s">
        <v>40</v>
      </c>
      <c r="C44" t="str">
        <f t="shared" si="0"/>
        <v>101</v>
      </c>
      <c r="D44" t="str">
        <f t="shared" si="1"/>
        <v>10101</v>
      </c>
      <c r="E44" t="str">
        <f t="shared" si="2"/>
        <v>HV03</v>
      </c>
      <c r="F44" t="str">
        <f t="shared" si="3"/>
        <v>HV</v>
      </c>
      <c r="G44" t="str">
        <f t="shared" si="4"/>
        <v>Hand Valve</v>
      </c>
    </row>
    <row r="45" spans="2:7" x14ac:dyDescent="0.3">
      <c r="B45" t="s">
        <v>41</v>
      </c>
      <c r="C45" t="str">
        <f t="shared" si="0"/>
        <v>101</v>
      </c>
      <c r="D45" t="str">
        <f t="shared" si="1"/>
        <v>10101</v>
      </c>
      <c r="E45" t="str">
        <f t="shared" si="2"/>
        <v>HV04</v>
      </c>
      <c r="F45" t="str">
        <f t="shared" si="3"/>
        <v>HV</v>
      </c>
      <c r="G45" t="str">
        <f t="shared" si="4"/>
        <v>Hand Valve</v>
      </c>
    </row>
    <row r="46" spans="2:7" x14ac:dyDescent="0.3">
      <c r="B46" t="s">
        <v>42</v>
      </c>
      <c r="C46" t="str">
        <f t="shared" si="0"/>
        <v>101</v>
      </c>
      <c r="D46" t="str">
        <f t="shared" si="1"/>
        <v>10101</v>
      </c>
      <c r="E46" t="str">
        <f t="shared" si="2"/>
        <v>HV05</v>
      </c>
      <c r="F46" t="str">
        <f t="shared" si="3"/>
        <v>HV</v>
      </c>
      <c r="G46" t="str">
        <f t="shared" si="4"/>
        <v>Hand Valve</v>
      </c>
    </row>
    <row r="47" spans="2:7" x14ac:dyDescent="0.3">
      <c r="B47" t="s">
        <v>43</v>
      </c>
      <c r="C47" t="str">
        <f t="shared" si="0"/>
        <v>101</v>
      </c>
      <c r="D47" t="str">
        <f t="shared" si="1"/>
        <v>10101</v>
      </c>
      <c r="E47" t="str">
        <f t="shared" si="2"/>
        <v>HV06</v>
      </c>
      <c r="F47" t="str">
        <f t="shared" si="3"/>
        <v>HV</v>
      </c>
      <c r="G47" t="str">
        <f t="shared" si="4"/>
        <v>Hand Valve</v>
      </c>
    </row>
    <row r="48" spans="2:7" x14ac:dyDescent="0.3">
      <c r="B48" t="s">
        <v>44</v>
      </c>
      <c r="C48" t="str">
        <f t="shared" si="0"/>
        <v>102</v>
      </c>
      <c r="D48" t="str">
        <f t="shared" si="1"/>
        <v>10202</v>
      </c>
      <c r="E48" t="str">
        <f t="shared" si="2"/>
        <v>PRV01</v>
      </c>
      <c r="F48" t="str">
        <f t="shared" si="3"/>
        <v>PRV</v>
      </c>
      <c r="G48" t="str">
        <f t="shared" si="4"/>
        <v>Pressure Relief Valve</v>
      </c>
    </row>
    <row r="49" spans="2:7" x14ac:dyDescent="0.3">
      <c r="B49" t="s">
        <v>45</v>
      </c>
      <c r="C49" t="str">
        <f t="shared" si="0"/>
        <v>102</v>
      </c>
      <c r="D49" t="str">
        <f t="shared" si="1"/>
        <v>10202</v>
      </c>
      <c r="E49" t="str">
        <f t="shared" si="2"/>
        <v>PRV02</v>
      </c>
      <c r="F49" t="str">
        <f t="shared" si="3"/>
        <v>PRV</v>
      </c>
      <c r="G49" t="str">
        <f t="shared" si="4"/>
        <v>Pressure Relief Valve</v>
      </c>
    </row>
    <row r="50" spans="2:7" x14ac:dyDescent="0.3">
      <c r="B50" t="s">
        <v>46</v>
      </c>
      <c r="C50" t="str">
        <f t="shared" si="0"/>
        <v>102</v>
      </c>
      <c r="D50" t="str">
        <f t="shared" si="1"/>
        <v>10202</v>
      </c>
      <c r="E50" t="str">
        <f t="shared" si="2"/>
        <v>PRV03</v>
      </c>
      <c r="F50" t="str">
        <f t="shared" si="3"/>
        <v>PRV</v>
      </c>
      <c r="G50" t="str">
        <f t="shared" si="4"/>
        <v>Pressure Relief Valve</v>
      </c>
    </row>
    <row r="51" spans="2:7" x14ac:dyDescent="0.3">
      <c r="B51" t="s">
        <v>47</v>
      </c>
      <c r="C51" t="str">
        <f t="shared" si="0"/>
        <v>102</v>
      </c>
      <c r="D51" t="str">
        <f t="shared" si="1"/>
        <v>10202</v>
      </c>
      <c r="E51" t="str">
        <f t="shared" si="2"/>
        <v>PRV04</v>
      </c>
      <c r="F51" t="str">
        <f t="shared" si="3"/>
        <v>PRV</v>
      </c>
      <c r="G51" t="str">
        <f t="shared" si="4"/>
        <v>Pressure Relief Valve</v>
      </c>
    </row>
    <row r="52" spans="2:7" x14ac:dyDescent="0.3">
      <c r="B52" t="s">
        <v>48</v>
      </c>
      <c r="C52" t="str">
        <f t="shared" si="0"/>
        <v>102</v>
      </c>
      <c r="D52" t="str">
        <f t="shared" si="1"/>
        <v>10202</v>
      </c>
      <c r="E52" t="str">
        <f t="shared" si="2"/>
        <v>PRV05</v>
      </c>
      <c r="F52" t="str">
        <f t="shared" si="3"/>
        <v>PRV</v>
      </c>
      <c r="G52" t="str">
        <f t="shared" si="4"/>
        <v>Pressure Relief Valve</v>
      </c>
    </row>
    <row r="53" spans="2:7" x14ac:dyDescent="0.3">
      <c r="B53" t="s">
        <v>49</v>
      </c>
      <c r="C53" t="str">
        <f t="shared" si="0"/>
        <v>102</v>
      </c>
      <c r="D53" t="str">
        <f t="shared" si="1"/>
        <v>10202</v>
      </c>
      <c r="E53" t="str">
        <f t="shared" si="2"/>
        <v>PRV06</v>
      </c>
      <c r="F53" t="str">
        <f t="shared" si="3"/>
        <v>PRV</v>
      </c>
      <c r="G53" t="str">
        <f t="shared" si="4"/>
        <v>Pressure Relief Valve</v>
      </c>
    </row>
    <row r="54" spans="2:7" x14ac:dyDescent="0.3">
      <c r="B54" t="s">
        <v>50</v>
      </c>
      <c r="C54" t="str">
        <f t="shared" si="0"/>
        <v>102</v>
      </c>
      <c r="D54" t="str">
        <f t="shared" si="1"/>
        <v>10202</v>
      </c>
      <c r="E54" t="str">
        <f t="shared" si="2"/>
        <v>PI01</v>
      </c>
      <c r="F54" t="str">
        <f t="shared" si="3"/>
        <v>PI</v>
      </c>
      <c r="G54" t="str">
        <f t="shared" si="4"/>
        <v>Pressure Indicator</v>
      </c>
    </row>
    <row r="55" spans="2:7" x14ac:dyDescent="0.3">
      <c r="B55" t="s">
        <v>51</v>
      </c>
      <c r="C55" t="str">
        <f t="shared" si="0"/>
        <v>102</v>
      </c>
      <c r="D55" t="str">
        <f t="shared" si="1"/>
        <v>10202</v>
      </c>
      <c r="E55" t="str">
        <f t="shared" si="2"/>
        <v>PI02</v>
      </c>
      <c r="F55" t="str">
        <f t="shared" si="3"/>
        <v>PI</v>
      </c>
      <c r="G55" t="str">
        <f t="shared" si="4"/>
        <v>Pressure Indicator</v>
      </c>
    </row>
    <row r="56" spans="2:7" x14ac:dyDescent="0.3">
      <c r="B56" t="s">
        <v>52</v>
      </c>
      <c r="C56" t="str">
        <f t="shared" si="0"/>
        <v>102</v>
      </c>
      <c r="D56" t="str">
        <f t="shared" si="1"/>
        <v>10202</v>
      </c>
      <c r="E56" t="str">
        <f t="shared" si="2"/>
        <v>PI03</v>
      </c>
      <c r="F56" t="str">
        <f t="shared" si="3"/>
        <v>PI</v>
      </c>
      <c r="G56" t="str">
        <f t="shared" si="4"/>
        <v>Pressure Indicator</v>
      </c>
    </row>
    <row r="57" spans="2:7" x14ac:dyDescent="0.3">
      <c r="B57" t="s">
        <v>53</v>
      </c>
      <c r="C57" t="str">
        <f t="shared" si="0"/>
        <v>102</v>
      </c>
      <c r="D57" t="str">
        <f t="shared" si="1"/>
        <v>10202</v>
      </c>
      <c r="E57" t="str">
        <f t="shared" si="2"/>
        <v>PI04</v>
      </c>
      <c r="F57" t="str">
        <f t="shared" si="3"/>
        <v>PI</v>
      </c>
      <c r="G57" t="str">
        <f t="shared" si="4"/>
        <v>Pressure Indicator</v>
      </c>
    </row>
    <row r="58" spans="2:7" x14ac:dyDescent="0.3">
      <c r="B58" t="s">
        <v>54</v>
      </c>
      <c r="C58" t="str">
        <f t="shared" si="0"/>
        <v>102</v>
      </c>
      <c r="D58" t="str">
        <f t="shared" si="1"/>
        <v>10202</v>
      </c>
      <c r="E58" t="str">
        <f t="shared" si="2"/>
        <v>PI05</v>
      </c>
      <c r="F58" t="str">
        <f t="shared" si="3"/>
        <v>PI</v>
      </c>
      <c r="G58" t="str">
        <f t="shared" si="4"/>
        <v>Pressure Indicator</v>
      </c>
    </row>
    <row r="59" spans="2:7" x14ac:dyDescent="0.3">
      <c r="B59" t="s">
        <v>55</v>
      </c>
      <c r="C59" t="str">
        <f t="shared" si="0"/>
        <v>102</v>
      </c>
      <c r="D59" t="str">
        <f t="shared" si="1"/>
        <v>10202</v>
      </c>
      <c r="E59" t="str">
        <f t="shared" si="2"/>
        <v>PI06</v>
      </c>
      <c r="F59" t="str">
        <f t="shared" si="3"/>
        <v>PI</v>
      </c>
      <c r="G59" t="str">
        <f t="shared" si="4"/>
        <v>Pressure Indicator</v>
      </c>
    </row>
    <row r="60" spans="2:7" x14ac:dyDescent="0.3">
      <c r="B60" t="s">
        <v>56</v>
      </c>
      <c r="C60" t="str">
        <f t="shared" si="0"/>
        <v>102</v>
      </c>
      <c r="D60" t="str">
        <f t="shared" si="1"/>
        <v>10202</v>
      </c>
      <c r="E60" t="str">
        <f t="shared" si="2"/>
        <v>HV01</v>
      </c>
      <c r="F60" t="str">
        <f t="shared" si="3"/>
        <v>HV</v>
      </c>
      <c r="G60" t="str">
        <f t="shared" si="4"/>
        <v>Hand Valve</v>
      </c>
    </row>
    <row r="61" spans="2:7" x14ac:dyDescent="0.3">
      <c r="B61" t="s">
        <v>57</v>
      </c>
      <c r="C61" t="str">
        <f t="shared" si="0"/>
        <v>102</v>
      </c>
      <c r="D61" t="str">
        <f t="shared" si="1"/>
        <v>10202</v>
      </c>
      <c r="E61" t="str">
        <f t="shared" si="2"/>
        <v>HV02</v>
      </c>
      <c r="F61" t="str">
        <f t="shared" si="3"/>
        <v>HV</v>
      </c>
      <c r="G61" t="str">
        <f t="shared" si="4"/>
        <v>Hand Valve</v>
      </c>
    </row>
    <row r="62" spans="2:7" x14ac:dyDescent="0.3">
      <c r="B62" t="s">
        <v>58</v>
      </c>
      <c r="C62" t="str">
        <f t="shared" si="0"/>
        <v>102</v>
      </c>
      <c r="D62" t="str">
        <f t="shared" si="1"/>
        <v>10202</v>
      </c>
      <c r="E62" t="str">
        <f t="shared" si="2"/>
        <v>HV03</v>
      </c>
      <c r="F62" t="str">
        <f t="shared" si="3"/>
        <v>HV</v>
      </c>
      <c r="G62" t="str">
        <f t="shared" si="4"/>
        <v>Hand Valve</v>
      </c>
    </row>
    <row r="63" spans="2:7" x14ac:dyDescent="0.3">
      <c r="B63" t="s">
        <v>59</v>
      </c>
      <c r="C63" t="str">
        <f t="shared" si="0"/>
        <v>102</v>
      </c>
      <c r="D63" t="str">
        <f t="shared" si="1"/>
        <v>10202</v>
      </c>
      <c r="E63" t="str">
        <f t="shared" si="2"/>
        <v>HV04</v>
      </c>
      <c r="F63" t="str">
        <f t="shared" si="3"/>
        <v>HV</v>
      </c>
      <c r="G63" t="str">
        <f t="shared" si="4"/>
        <v>Hand Valve</v>
      </c>
    </row>
    <row r="64" spans="2:7" x14ac:dyDescent="0.3">
      <c r="B64" t="s">
        <v>60</v>
      </c>
      <c r="C64" t="str">
        <f t="shared" si="0"/>
        <v>102</v>
      </c>
      <c r="D64" t="str">
        <f t="shared" si="1"/>
        <v>10202</v>
      </c>
      <c r="E64" t="str">
        <f t="shared" si="2"/>
        <v>HV05</v>
      </c>
      <c r="F64" t="str">
        <f t="shared" si="3"/>
        <v>HV</v>
      </c>
      <c r="G64" t="str">
        <f t="shared" si="4"/>
        <v>Hand Valve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rade">
                <anchor moveWithCells="1" sizeWithCells="1">
                  <from>
                    <xdr:col>9</xdr:col>
                    <xdr:colOff>213360</xdr:colOff>
                    <xdr:row>10</xdr:row>
                    <xdr:rowOff>45720</xdr:rowOff>
                  </from>
                  <to>
                    <xdr:col>10</xdr:col>
                    <xdr:colOff>312420</xdr:colOff>
                    <xdr:row>12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set">
                <anchor moveWithCells="1" sizeWithCells="1">
                  <from>
                    <xdr:col>9</xdr:col>
                    <xdr:colOff>213360</xdr:colOff>
                    <xdr:row>14</xdr:row>
                    <xdr:rowOff>45720</xdr:rowOff>
                  </from>
                  <to>
                    <xdr:col>10</xdr:col>
                    <xdr:colOff>312420</xdr:colOff>
                    <xdr:row>16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64"/>
  <sheetViews>
    <sheetView workbookViewId="0">
      <selection sqref="A1:G1048576"/>
    </sheetView>
  </sheetViews>
  <sheetFormatPr defaultRowHeight="14.4" x14ac:dyDescent="0.3"/>
  <cols>
    <col min="2" max="2" width="11.77734375" bestFit="1" customWidth="1"/>
    <col min="3" max="3" width="11.109375" customWidth="1"/>
    <col min="5" max="5" width="11.109375" customWidth="1"/>
    <col min="7" max="7" width="17.21875" bestFit="1" customWidth="1"/>
  </cols>
  <sheetData>
    <row r="1" spans="1:7" x14ac:dyDescent="0.3">
      <c r="A1" s="3" t="s">
        <v>75</v>
      </c>
    </row>
    <row r="3" spans="1:7" ht="28.8" x14ac:dyDescent="0.3">
      <c r="B3" s="2" t="s">
        <v>62</v>
      </c>
      <c r="C3" s="1" t="s">
        <v>72</v>
      </c>
      <c r="D3" s="1" t="s">
        <v>61</v>
      </c>
      <c r="E3" s="1" t="s">
        <v>73</v>
      </c>
      <c r="F3" s="1" t="s">
        <v>74</v>
      </c>
      <c r="G3" s="2" t="s">
        <v>71</v>
      </c>
    </row>
    <row r="4" spans="1:7" x14ac:dyDescent="0.3">
      <c r="B4" t="s">
        <v>0</v>
      </c>
    </row>
    <row r="5" spans="1:7" x14ac:dyDescent="0.3">
      <c r="B5" t="s">
        <v>1</v>
      </c>
    </row>
    <row r="6" spans="1:7" x14ac:dyDescent="0.3">
      <c r="B6" t="s">
        <v>2</v>
      </c>
    </row>
    <row r="7" spans="1:7" x14ac:dyDescent="0.3">
      <c r="B7" t="s">
        <v>3</v>
      </c>
    </row>
    <row r="8" spans="1:7" x14ac:dyDescent="0.3">
      <c r="B8" t="s">
        <v>4</v>
      </c>
    </row>
    <row r="9" spans="1:7" x14ac:dyDescent="0.3">
      <c r="B9" t="s">
        <v>5</v>
      </c>
    </row>
    <row r="10" spans="1:7" x14ac:dyDescent="0.3">
      <c r="B10" t="s">
        <v>6</v>
      </c>
    </row>
    <row r="11" spans="1:7" x14ac:dyDescent="0.3">
      <c r="B11" t="s">
        <v>7</v>
      </c>
    </row>
    <row r="12" spans="1:7" x14ac:dyDescent="0.3">
      <c r="B12" t="s">
        <v>8</v>
      </c>
    </row>
    <row r="13" spans="1:7" x14ac:dyDescent="0.3">
      <c r="B13" t="s">
        <v>9</v>
      </c>
    </row>
    <row r="14" spans="1:7" x14ac:dyDescent="0.3">
      <c r="B14" t="s">
        <v>10</v>
      </c>
    </row>
    <row r="15" spans="1:7" x14ac:dyDescent="0.3">
      <c r="B15" t="s">
        <v>11</v>
      </c>
    </row>
    <row r="16" spans="1:7" x14ac:dyDescent="0.3">
      <c r="B16" t="s">
        <v>12</v>
      </c>
    </row>
    <row r="17" spans="2:2" x14ac:dyDescent="0.3">
      <c r="B17" t="s">
        <v>13</v>
      </c>
    </row>
    <row r="18" spans="2:2" x14ac:dyDescent="0.3">
      <c r="B18" t="s">
        <v>14</v>
      </c>
    </row>
    <row r="19" spans="2:2" x14ac:dyDescent="0.3">
      <c r="B19" t="s">
        <v>15</v>
      </c>
    </row>
    <row r="20" spans="2:2" x14ac:dyDescent="0.3">
      <c r="B20" t="s">
        <v>16</v>
      </c>
    </row>
    <row r="21" spans="2:2" x14ac:dyDescent="0.3">
      <c r="B21" t="s">
        <v>17</v>
      </c>
    </row>
    <row r="22" spans="2:2" x14ac:dyDescent="0.3">
      <c r="B22" t="s">
        <v>18</v>
      </c>
    </row>
    <row r="23" spans="2:2" x14ac:dyDescent="0.3">
      <c r="B23" t="s">
        <v>19</v>
      </c>
    </row>
    <row r="24" spans="2:2" x14ac:dyDescent="0.3">
      <c r="B24" t="s">
        <v>20</v>
      </c>
    </row>
    <row r="25" spans="2:2" x14ac:dyDescent="0.3">
      <c r="B25" t="s">
        <v>21</v>
      </c>
    </row>
    <row r="26" spans="2:2" x14ac:dyDescent="0.3">
      <c r="B26" t="s">
        <v>22</v>
      </c>
    </row>
    <row r="27" spans="2:2" x14ac:dyDescent="0.3">
      <c r="B27" t="s">
        <v>23</v>
      </c>
    </row>
    <row r="28" spans="2:2" x14ac:dyDescent="0.3">
      <c r="B28" t="s">
        <v>24</v>
      </c>
    </row>
    <row r="29" spans="2:2" x14ac:dyDescent="0.3">
      <c r="B29" t="s">
        <v>25</v>
      </c>
    </row>
    <row r="30" spans="2:2" x14ac:dyDescent="0.3">
      <c r="B30" t="s">
        <v>26</v>
      </c>
    </row>
    <row r="31" spans="2:2" x14ac:dyDescent="0.3">
      <c r="B31" t="s">
        <v>27</v>
      </c>
    </row>
    <row r="32" spans="2:2" x14ac:dyDescent="0.3">
      <c r="B32" t="s">
        <v>28</v>
      </c>
    </row>
    <row r="33" spans="2:2" x14ac:dyDescent="0.3">
      <c r="B33" t="s">
        <v>29</v>
      </c>
    </row>
    <row r="34" spans="2:2" x14ac:dyDescent="0.3">
      <c r="B34" t="s">
        <v>30</v>
      </c>
    </row>
    <row r="35" spans="2:2" x14ac:dyDescent="0.3">
      <c r="B35" t="s">
        <v>31</v>
      </c>
    </row>
    <row r="36" spans="2:2" x14ac:dyDescent="0.3">
      <c r="B36" t="s">
        <v>32</v>
      </c>
    </row>
    <row r="37" spans="2:2" x14ac:dyDescent="0.3">
      <c r="B37" t="s">
        <v>33</v>
      </c>
    </row>
    <row r="38" spans="2:2" x14ac:dyDescent="0.3">
      <c r="B38" t="s">
        <v>34</v>
      </c>
    </row>
    <row r="39" spans="2:2" x14ac:dyDescent="0.3">
      <c r="B39" t="s">
        <v>35</v>
      </c>
    </row>
    <row r="40" spans="2:2" x14ac:dyDescent="0.3">
      <c r="B40" t="s">
        <v>36</v>
      </c>
    </row>
    <row r="41" spans="2:2" x14ac:dyDescent="0.3">
      <c r="B41" t="s">
        <v>37</v>
      </c>
    </row>
    <row r="42" spans="2:2" x14ac:dyDescent="0.3">
      <c r="B42" t="s">
        <v>38</v>
      </c>
    </row>
    <row r="43" spans="2:2" x14ac:dyDescent="0.3">
      <c r="B43" t="s">
        <v>39</v>
      </c>
    </row>
    <row r="44" spans="2:2" x14ac:dyDescent="0.3">
      <c r="B44" t="s">
        <v>40</v>
      </c>
    </row>
    <row r="45" spans="2:2" x14ac:dyDescent="0.3">
      <c r="B45" t="s">
        <v>41</v>
      </c>
    </row>
    <row r="46" spans="2:2" x14ac:dyDescent="0.3">
      <c r="B46" t="s">
        <v>42</v>
      </c>
    </row>
    <row r="47" spans="2:2" x14ac:dyDescent="0.3">
      <c r="B47" t="s">
        <v>43</v>
      </c>
    </row>
    <row r="48" spans="2:2" x14ac:dyDescent="0.3">
      <c r="B48" t="s">
        <v>44</v>
      </c>
    </row>
    <row r="49" spans="2:2" x14ac:dyDescent="0.3">
      <c r="B49" t="s">
        <v>45</v>
      </c>
    </row>
    <row r="50" spans="2:2" x14ac:dyDescent="0.3">
      <c r="B50" t="s">
        <v>46</v>
      </c>
    </row>
    <row r="51" spans="2:2" x14ac:dyDescent="0.3">
      <c r="B51" t="s">
        <v>47</v>
      </c>
    </row>
    <row r="52" spans="2:2" x14ac:dyDescent="0.3">
      <c r="B52" t="s">
        <v>48</v>
      </c>
    </row>
    <row r="53" spans="2:2" x14ac:dyDescent="0.3">
      <c r="B53" t="s">
        <v>49</v>
      </c>
    </row>
    <row r="54" spans="2:2" x14ac:dyDescent="0.3">
      <c r="B54" t="s">
        <v>50</v>
      </c>
    </row>
    <row r="55" spans="2:2" x14ac:dyDescent="0.3">
      <c r="B55" t="s">
        <v>51</v>
      </c>
    </row>
    <row r="56" spans="2:2" x14ac:dyDescent="0.3">
      <c r="B56" t="s">
        <v>52</v>
      </c>
    </row>
    <row r="57" spans="2:2" x14ac:dyDescent="0.3">
      <c r="B57" t="s">
        <v>53</v>
      </c>
    </row>
    <row r="58" spans="2:2" x14ac:dyDescent="0.3">
      <c r="B58" t="s">
        <v>54</v>
      </c>
    </row>
    <row r="59" spans="2:2" x14ac:dyDescent="0.3">
      <c r="B59" t="s">
        <v>55</v>
      </c>
    </row>
    <row r="60" spans="2:2" x14ac:dyDescent="0.3">
      <c r="B60" t="s">
        <v>56</v>
      </c>
    </row>
    <row r="61" spans="2:2" x14ac:dyDescent="0.3">
      <c r="B61" t="s">
        <v>57</v>
      </c>
    </row>
    <row r="62" spans="2:2" x14ac:dyDescent="0.3">
      <c r="B62" t="s">
        <v>58</v>
      </c>
    </row>
    <row r="63" spans="2:2" x14ac:dyDescent="0.3">
      <c r="B63" t="s">
        <v>59</v>
      </c>
    </row>
    <row r="64" spans="2:2" x14ac:dyDescent="0.3">
      <c r="B64" t="s">
        <v>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Original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Sobhika Mahajan</cp:lastModifiedBy>
  <dcterms:created xsi:type="dcterms:W3CDTF">2020-02-03T16:43:41Z</dcterms:created>
  <dcterms:modified xsi:type="dcterms:W3CDTF">2023-11-27T17:24:45Z</dcterms:modified>
</cp:coreProperties>
</file>